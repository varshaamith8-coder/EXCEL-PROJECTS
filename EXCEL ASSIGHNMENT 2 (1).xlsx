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\ASSIGNMENTS\"/>
    </mc:Choice>
  </mc:AlternateContent>
  <xr:revisionPtr revIDLastSave="0" documentId="8_{768BC5D1-C57C-457D-A024-709DBADD5C21}" xr6:coauthVersionLast="47" xr6:coauthVersionMax="47" xr10:uidLastSave="{00000000-0000-0000-0000-000000000000}"/>
  <bookViews>
    <workbookView xWindow="-120" yWindow="-120" windowWidth="20730" windowHeight="11040" activeTab="1" xr2:uid="{353073C9-3D1D-458F-B4CA-76BCF365BD3B}"/>
  </bookViews>
  <sheets>
    <sheet name="Sheet1 (2)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H35" i="3"/>
  <c r="E35" i="3"/>
  <c r="H34" i="3"/>
  <c r="E34" i="3"/>
  <c r="H33" i="3"/>
  <c r="E33" i="3"/>
  <c r="H32" i="3"/>
  <c r="E32" i="3"/>
  <c r="H31" i="3"/>
  <c r="E31" i="3"/>
  <c r="H30" i="3"/>
  <c r="E30" i="3"/>
  <c r="H29" i="3"/>
  <c r="E29" i="3"/>
  <c r="H28" i="3"/>
  <c r="E28" i="3"/>
  <c r="H27" i="3"/>
  <c r="E27" i="3"/>
  <c r="H26" i="3"/>
  <c r="E26" i="3"/>
  <c r="H25" i="3"/>
  <c r="E25" i="3"/>
  <c r="H24" i="3"/>
  <c r="E24" i="3"/>
  <c r="H23" i="3"/>
  <c r="E23" i="3"/>
  <c r="H22" i="3"/>
  <c r="E22" i="3"/>
  <c r="H21" i="3"/>
  <c r="E21" i="3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H4" i="3"/>
  <c r="E4" i="3"/>
  <c r="H3" i="3"/>
  <c r="E3" i="3"/>
  <c r="H2" i="3"/>
  <c r="E2" i="3"/>
  <c r="K27" i="1"/>
  <c r="K28" i="1"/>
  <c r="K29" i="1"/>
  <c r="K30" i="1"/>
  <c r="K31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</calcChain>
</file>

<file path=xl/sharedStrings.xml><?xml version="1.0" encoding="utf-8"?>
<sst xmlns="http://schemas.openxmlformats.org/spreadsheetml/2006/main" count="302" uniqueCount="110">
  <si>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</si>
  <si>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</si>
  <si>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</si>
  <si>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</si>
  <si>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</si>
  <si>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</si>
  <si>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</si>
  <si>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</si>
  <si>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</si>
  <si>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</si>
  <si>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</si>
  <si>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</si>
  <si>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</si>
  <si>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</si>
  <si>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</si>
  <si>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</si>
  <si>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</si>
  <si>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</si>
  <si>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</si>
  <si>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</si>
  <si>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</si>
  <si>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</si>
  <si>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</si>
  <si>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</si>
  <si>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</si>
  <si>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</si>
  <si>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</si>
  <si>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</si>
  <si>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</si>
  <si>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</si>
  <si>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</si>
  <si>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</si>
  <si>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</si>
  <si>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</si>
  <si>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</si>
  <si>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</si>
  <si>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</si>
  <si>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</si>
  <si>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</si>
  <si>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</si>
  <si>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</si>
  <si>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</si>
  <si>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</si>
  <si>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</si>
  <si>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</si>
  <si>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</si>
  <si>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</si>
  <si>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</si>
  <si>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</si>
  <si>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</si>
  <si>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</si>
  <si>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</si>
  <si>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</si>
  <si>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</si>
  <si>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</si>
  <si>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</si>
  <si>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</si>
  <si>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</si>
  <si>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</si>
  <si>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</si>
  <si>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</si>
  <si>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</si>
  <si>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</si>
  <si>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</si>
  <si>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</si>
  <si>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</si>
  <si>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</si>
  <si>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</si>
  <si>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</si>
  <si>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</si>
  <si>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</si>
  <si>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</si>
  <si>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</si>
  <si>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</si>
  <si>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</si>
  <si>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</si>
  <si>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</si>
  <si>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</si>
  <si>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</si>
  <si>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</si>
  <si>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</si>
  <si>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</si>
  <si>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</si>
  <si>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</si>
  <si>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</si>
  <si>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</si>
  <si>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</si>
  <si>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</si>
  <si>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</si>
  <si>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</si>
  <si>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</si>
  <si>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</si>
  <si>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</si>
  <si>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price-imputation</t>
  </si>
  <si>
    <t>category-replace</t>
  </si>
  <si>
    <t xml:space="preserve">manufacturing date 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</si>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</sst>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3" fillId="2" borderId="0" xfId="1" applyFont="1" applyFill="1" applyAlignment="1">
      <alignment horizontal="center"/>
    </xf>
    <xf numFmtId="0" fontId="2" fillId="3" borderId="0" xfId="1" applyFont="1" applyFill="1"/>
    <xf numFmtId="0" fontId="4" fillId="2" borderId="0" xfId="1" applyFont="1" applyFill="1" applyAlignment="1">
      <alignment horizontal="center"/>
    </xf>
    <xf numFmtId="169" fontId="2" fillId="0" borderId="0" xfId="1" applyNumberFormat="1" applyFont="1"/>
    <xf numFmtId="169" fontId="2" fillId="3" borderId="0" xfId="1" applyNumberFormat="1" applyFont="1" applyFill="1"/>
    <xf numFmtId="0" fontId="2" fillId="0" borderId="0" xfId="1" applyFont="1" applyAlignment="1">
      <alignment horizontal="center"/>
    </xf>
    <xf numFmtId="0" fontId="2" fillId="3" borderId="0" xfId="1" applyFont="1" applyFill="1" applyAlignment="1">
      <alignment horizontal="center"/>
    </xf>
    <xf numFmtId="14" fontId="2" fillId="0" borderId="0" xfId="1" applyNumberFormat="1" applyFont="1" applyAlignment="1">
      <alignment horizontal="center"/>
    </xf>
    <xf numFmtId="14" fontId="2" fillId="3" borderId="0" xfId="1" applyNumberFormat="1" applyFont="1" applyFill="1" applyAlignment="1">
      <alignment horizontal="center"/>
    </xf>
  </cellXfs>
  <cellStyles count="2">
    <cellStyle name="Normal" xfId="0" builtinId="0"/>
    <cellStyle name="Normal 2" xfId="1" xr:uid="{3C9807D8-AA94-45FB-9377-4E9915B1AC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0C6-FAA7-47A9-9115-1E0445D9899D}">
  <dimension ref="A1:H35"/>
  <sheetViews>
    <sheetView topLeftCell="A22" zoomScaleNormal="100" workbookViewId="0">
      <selection activeCell="K28" sqref="K28"/>
    </sheetView>
  </sheetViews>
  <sheetFormatPr defaultRowHeight="15" x14ac:dyDescent="0.25"/>
  <cols>
    <col min="1" max="1" width="14.28515625" customWidth="1"/>
    <col min="2" max="2" width="16" customWidth="1"/>
    <col min="3" max="3" width="11.5703125" customWidth="1"/>
    <col min="5" max="5" width="17.42578125" customWidth="1"/>
    <col min="6" max="6" width="12.7109375" customWidth="1"/>
    <col min="7" max="7" width="14.28515625" customWidth="1"/>
    <col min="8" max="8" width="16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93</v>
      </c>
      <c r="F1" s="2" t="s">
        <v>4</v>
      </c>
      <c r="G1" s="2" t="s">
        <v>5</v>
      </c>
      <c r="H1" s="2" t="s">
        <v>94</v>
      </c>
    </row>
    <row r="2" spans="1:8" x14ac:dyDescent="0.25">
      <c r="A2" s="1" t="s">
        <v>6</v>
      </c>
      <c r="B2" s="1" t="s">
        <v>39</v>
      </c>
      <c r="C2" s="1" t="s">
        <v>7</v>
      </c>
      <c r="D2" s="1">
        <v>1000</v>
      </c>
      <c r="E2" s="1">
        <f>IF(ISBLANK(D2),AVERAGE(D3:D35),D2)</f>
        <v>1000</v>
      </c>
      <c r="F2" s="1">
        <v>30</v>
      </c>
      <c r="G2" s="1" t="s">
        <v>8</v>
      </c>
      <c r="H2" t="str">
        <f>IF(ISBLANK(G2),"Unknown",G2)</f>
        <v>Electronics</v>
      </c>
    </row>
    <row r="3" spans="1:8" x14ac:dyDescent="0.25">
      <c r="A3" s="3" t="s">
        <v>9</v>
      </c>
      <c r="B3" s="3" t="s">
        <v>10</v>
      </c>
      <c r="C3" s="3" t="s">
        <v>11</v>
      </c>
      <c r="D3" s="3">
        <v>80</v>
      </c>
      <c r="E3" s="1">
        <f t="shared" ref="E3:E35" si="0">IF(ISBLANK(D3),AVERAGE(D4:D36),D3)</f>
        <v>80</v>
      </c>
      <c r="F3" s="3">
        <v>15</v>
      </c>
      <c r="G3" s="3" t="s">
        <v>12</v>
      </c>
      <c r="H3" t="str">
        <f>IF(ISBLANK(G3),"Unknown",G3)</f>
        <v>Fashion</v>
      </c>
    </row>
    <row r="4" spans="1:8" x14ac:dyDescent="0.25">
      <c r="A4" s="1" t="s">
        <v>13</v>
      </c>
      <c r="B4" s="1" t="s">
        <v>14</v>
      </c>
      <c r="C4" s="1" t="s">
        <v>15</v>
      </c>
      <c r="D4" s="1">
        <v>130</v>
      </c>
      <c r="E4" s="1">
        <f t="shared" si="0"/>
        <v>130</v>
      </c>
      <c r="F4" s="1">
        <v>40</v>
      </c>
      <c r="G4" s="1" t="s">
        <v>16</v>
      </c>
      <c r="H4" t="str">
        <f>IF(ISBLANK(G4),"Unknown",G4)</f>
        <v>Kitchen</v>
      </c>
    </row>
    <row r="5" spans="1:8" x14ac:dyDescent="0.25">
      <c r="A5" s="3" t="s">
        <v>17</v>
      </c>
      <c r="B5" s="3" t="s">
        <v>73</v>
      </c>
      <c r="C5" s="3" t="s">
        <v>18</v>
      </c>
      <c r="D5" s="3">
        <v>900</v>
      </c>
      <c r="E5" s="1">
        <f t="shared" si="0"/>
        <v>900</v>
      </c>
      <c r="F5" s="3">
        <v>25</v>
      </c>
      <c r="G5" s="3" t="s">
        <v>8</v>
      </c>
      <c r="H5" t="str">
        <f>IF(ISBLANK(G5),"Unknown",G5)</f>
        <v>Electronics</v>
      </c>
    </row>
    <row r="6" spans="1:8" x14ac:dyDescent="0.25">
      <c r="A6" s="1" t="s">
        <v>19</v>
      </c>
      <c r="B6" s="1" t="s">
        <v>20</v>
      </c>
      <c r="C6" s="1" t="s">
        <v>21</v>
      </c>
      <c r="D6" s="1">
        <v>70</v>
      </c>
      <c r="E6" s="1">
        <f t="shared" si="0"/>
        <v>70</v>
      </c>
      <c r="F6" s="1">
        <v>20</v>
      </c>
      <c r="G6" s="1"/>
      <c r="H6" t="str">
        <f>IF(ISBLANK(G6),"Unknown",G6)</f>
        <v>Unknown</v>
      </c>
    </row>
    <row r="7" spans="1:8" x14ac:dyDescent="0.25">
      <c r="A7" s="3" t="s">
        <v>22</v>
      </c>
      <c r="B7" s="3" t="s">
        <v>23</v>
      </c>
      <c r="C7" s="3" t="s">
        <v>24</v>
      </c>
      <c r="D7" s="3"/>
      <c r="E7" s="1">
        <f t="shared" si="0"/>
        <v>285</v>
      </c>
      <c r="F7" s="3">
        <v>45</v>
      </c>
      <c r="G7" s="3" t="s">
        <v>8</v>
      </c>
      <c r="H7" t="str">
        <f>IF(ISBLANK(G7),"Unknown",G7)</f>
        <v>Electronics</v>
      </c>
    </row>
    <row r="8" spans="1:8" x14ac:dyDescent="0.25">
      <c r="A8" s="1" t="s">
        <v>25</v>
      </c>
      <c r="B8" s="1" t="s">
        <v>26</v>
      </c>
      <c r="C8" s="1" t="s">
        <v>27</v>
      </c>
      <c r="D8" s="1">
        <v>30</v>
      </c>
      <c r="E8" s="1">
        <f t="shared" si="0"/>
        <v>30</v>
      </c>
      <c r="F8" s="1">
        <v>5</v>
      </c>
      <c r="G8" s="1" t="s">
        <v>12</v>
      </c>
      <c r="H8" t="str">
        <f>IF(ISBLANK(G8),"Unknown",G8)</f>
        <v>Fashion</v>
      </c>
    </row>
    <row r="9" spans="1:8" x14ac:dyDescent="0.25">
      <c r="A9" s="3" t="s">
        <v>28</v>
      </c>
      <c r="B9" s="3" t="s">
        <v>29</v>
      </c>
      <c r="C9" s="3" t="s">
        <v>30</v>
      </c>
      <c r="D9" s="3">
        <v>90</v>
      </c>
      <c r="E9" s="1">
        <f t="shared" si="0"/>
        <v>90</v>
      </c>
      <c r="F9" s="3">
        <v>35</v>
      </c>
      <c r="G9" s="3" t="s">
        <v>16</v>
      </c>
      <c r="H9" t="str">
        <f>IF(ISBLANK(G9),"Unknown",G9)</f>
        <v>Kitchen</v>
      </c>
    </row>
    <row r="10" spans="1:8" x14ac:dyDescent="0.25">
      <c r="A10" s="1" t="s">
        <v>31</v>
      </c>
      <c r="B10" s="1" t="s">
        <v>32</v>
      </c>
      <c r="C10" s="1" t="s">
        <v>33</v>
      </c>
      <c r="D10" s="1">
        <v>500</v>
      </c>
      <c r="E10" s="1">
        <f t="shared" si="0"/>
        <v>500</v>
      </c>
      <c r="F10" s="1">
        <v>50</v>
      </c>
      <c r="G10" s="1" t="s">
        <v>8</v>
      </c>
      <c r="H10" t="str">
        <f>IF(ISBLANK(G10),"Unknown",G10)</f>
        <v>Electronics</v>
      </c>
    </row>
    <row r="11" spans="1:8" x14ac:dyDescent="0.25">
      <c r="A11" s="3" t="s">
        <v>34</v>
      </c>
      <c r="B11" s="3" t="s">
        <v>35</v>
      </c>
      <c r="C11" s="3" t="s">
        <v>36</v>
      </c>
      <c r="D11" s="3">
        <v>130</v>
      </c>
      <c r="E11" s="1">
        <f t="shared" si="0"/>
        <v>130</v>
      </c>
      <c r="F11" s="3">
        <v>10</v>
      </c>
      <c r="G11" s="3" t="s">
        <v>37</v>
      </c>
      <c r="H11" t="str">
        <f>IF(ISBLANK(G11),"Unknown",G11)</f>
        <v>Outdoor</v>
      </c>
    </row>
    <row r="12" spans="1:8" x14ac:dyDescent="0.25">
      <c r="A12" s="1" t="s">
        <v>38</v>
      </c>
      <c r="B12" s="1" t="s">
        <v>39</v>
      </c>
      <c r="C12" s="1" t="s">
        <v>40</v>
      </c>
      <c r="D12" s="1">
        <v>950</v>
      </c>
      <c r="E12" s="1">
        <f t="shared" si="0"/>
        <v>950</v>
      </c>
      <c r="F12" s="1">
        <v>25</v>
      </c>
      <c r="G12" s="1" t="s">
        <v>8</v>
      </c>
      <c r="H12" t="str">
        <f>IF(ISBLANK(G12),"Unknown",G12)</f>
        <v>Electronics</v>
      </c>
    </row>
    <row r="13" spans="1:8" x14ac:dyDescent="0.25">
      <c r="A13" s="3" t="s">
        <v>41</v>
      </c>
      <c r="B13" s="3" t="s">
        <v>10</v>
      </c>
      <c r="C13" s="3" t="s">
        <v>27</v>
      </c>
      <c r="D13" s="3">
        <v>90</v>
      </c>
      <c r="E13" s="1">
        <f t="shared" si="0"/>
        <v>90</v>
      </c>
      <c r="F13" s="3">
        <v>40</v>
      </c>
      <c r="G13" s="3"/>
      <c r="H13" t="str">
        <f>IF(ISBLANK(G13),"Unknown",G13)</f>
        <v>Unknown</v>
      </c>
    </row>
    <row r="14" spans="1:8" x14ac:dyDescent="0.25">
      <c r="A14" s="1" t="s">
        <v>42</v>
      </c>
      <c r="B14" s="1" t="s">
        <v>14</v>
      </c>
      <c r="C14" s="1" t="s">
        <v>43</v>
      </c>
      <c r="D14" s="1">
        <v>120</v>
      </c>
      <c r="E14" s="1">
        <f t="shared" si="0"/>
        <v>120</v>
      </c>
      <c r="F14" s="1">
        <v>35</v>
      </c>
      <c r="G14" s="1"/>
      <c r="H14" t="str">
        <f>IF(ISBLANK(G14),"Unknown",G14)</f>
        <v>Unknown</v>
      </c>
    </row>
    <row r="15" spans="1:8" x14ac:dyDescent="0.25">
      <c r="A15" s="3" t="s">
        <v>44</v>
      </c>
      <c r="B15" s="3" t="s">
        <v>45</v>
      </c>
      <c r="C15" s="3" t="s">
        <v>46</v>
      </c>
      <c r="D15" s="3">
        <v>150</v>
      </c>
      <c r="E15" s="1">
        <f t="shared" si="0"/>
        <v>150</v>
      </c>
      <c r="F15" s="3">
        <v>15</v>
      </c>
      <c r="G15" s="3" t="s">
        <v>8</v>
      </c>
      <c r="H15" t="str">
        <f>IF(ISBLANK(G15),"Unknown",G15)</f>
        <v>Electronics</v>
      </c>
    </row>
    <row r="16" spans="1:8" x14ac:dyDescent="0.25">
      <c r="A16" s="1" t="s">
        <v>47</v>
      </c>
      <c r="B16" s="1" t="s">
        <v>23</v>
      </c>
      <c r="C16" s="1" t="s">
        <v>48</v>
      </c>
      <c r="D16" s="1">
        <v>250</v>
      </c>
      <c r="E16" s="1">
        <f t="shared" si="0"/>
        <v>250</v>
      </c>
      <c r="F16" s="1">
        <v>20</v>
      </c>
      <c r="G16" s="1" t="s">
        <v>8</v>
      </c>
      <c r="H16" t="str">
        <f>IF(ISBLANK(G16),"Unknown",G16)</f>
        <v>Electronics</v>
      </c>
    </row>
    <row r="17" spans="1:8" x14ac:dyDescent="0.25">
      <c r="A17" s="3" t="s">
        <v>49</v>
      </c>
      <c r="B17" s="3" t="s">
        <v>50</v>
      </c>
      <c r="C17" s="3" t="s">
        <v>51</v>
      </c>
      <c r="D17" s="3">
        <v>50</v>
      </c>
      <c r="E17" s="1">
        <f t="shared" si="0"/>
        <v>50</v>
      </c>
      <c r="F17" s="3">
        <v>35</v>
      </c>
      <c r="G17" s="3" t="s">
        <v>52</v>
      </c>
      <c r="H17" t="str">
        <f>IF(ISBLANK(G17),"Unknown",G17)</f>
        <v>Accessories</v>
      </c>
    </row>
    <row r="18" spans="1:8" x14ac:dyDescent="0.25">
      <c r="A18" s="1" t="s">
        <v>53</v>
      </c>
      <c r="B18" s="1" t="s">
        <v>45</v>
      </c>
      <c r="C18" s="1" t="s">
        <v>54</v>
      </c>
      <c r="D18" s="1">
        <v>160</v>
      </c>
      <c r="E18" s="1">
        <f t="shared" si="0"/>
        <v>160</v>
      </c>
      <c r="F18" s="1">
        <v>15</v>
      </c>
      <c r="G18" s="1" t="s">
        <v>8</v>
      </c>
      <c r="H18" t="str">
        <f>IF(ISBLANK(G18),"Unknown",G18)</f>
        <v>Electronics</v>
      </c>
    </row>
    <row r="19" spans="1:8" x14ac:dyDescent="0.25">
      <c r="A19" s="3" t="s">
        <v>55</v>
      </c>
      <c r="B19" s="3" t="s">
        <v>39</v>
      </c>
      <c r="C19" s="3" t="s">
        <v>56</v>
      </c>
      <c r="D19" s="3">
        <v>980</v>
      </c>
      <c r="E19" s="1">
        <f t="shared" si="0"/>
        <v>980</v>
      </c>
      <c r="F19" s="3">
        <v>10</v>
      </c>
      <c r="G19" s="3" t="s">
        <v>8</v>
      </c>
      <c r="H19" t="str">
        <f>IF(ISBLANK(G19),"Unknown",G19)</f>
        <v>Electronics</v>
      </c>
    </row>
    <row r="20" spans="1:8" x14ac:dyDescent="0.25">
      <c r="A20" s="1" t="s">
        <v>57</v>
      </c>
      <c r="B20" s="1" t="s">
        <v>58</v>
      </c>
      <c r="C20" s="1" t="s">
        <v>59</v>
      </c>
      <c r="D20" s="1">
        <v>150</v>
      </c>
      <c r="E20" s="1">
        <f t="shared" si="0"/>
        <v>150</v>
      </c>
      <c r="F20" s="1">
        <v>15</v>
      </c>
      <c r="G20" s="1" t="s">
        <v>12</v>
      </c>
      <c r="H20" t="str">
        <f>IF(ISBLANK(G20),"Unknown",G20)</f>
        <v>Fashion</v>
      </c>
    </row>
    <row r="21" spans="1:8" x14ac:dyDescent="0.25">
      <c r="A21" s="3" t="s">
        <v>60</v>
      </c>
      <c r="B21" s="3" t="s">
        <v>61</v>
      </c>
      <c r="C21" s="3" t="s">
        <v>62</v>
      </c>
      <c r="D21" s="3"/>
      <c r="E21" s="1">
        <f t="shared" si="0"/>
        <v>289.23076923076923</v>
      </c>
      <c r="F21" s="3">
        <v>10</v>
      </c>
      <c r="G21" s="3" t="s">
        <v>37</v>
      </c>
      <c r="H21" t="str">
        <f>IF(ISBLANK(G21),"Unknown",G21)</f>
        <v>Outdoor</v>
      </c>
    </row>
    <row r="22" spans="1:8" x14ac:dyDescent="0.25">
      <c r="A22" s="1" t="s">
        <v>63</v>
      </c>
      <c r="B22" s="1" t="s">
        <v>64</v>
      </c>
      <c r="C22" s="1" t="s">
        <v>65</v>
      </c>
      <c r="D22" s="1">
        <v>700</v>
      </c>
      <c r="E22" s="1">
        <f t="shared" si="0"/>
        <v>700</v>
      </c>
      <c r="F22" s="1">
        <v>50</v>
      </c>
      <c r="G22" s="1" t="s">
        <v>8</v>
      </c>
      <c r="H22" t="str">
        <f>IF(ISBLANK(G22),"Unknown",G22)</f>
        <v>Electronics</v>
      </c>
    </row>
    <row r="23" spans="1:8" x14ac:dyDescent="0.25">
      <c r="A23" s="3" t="s">
        <v>66</v>
      </c>
      <c r="B23" s="3" t="s">
        <v>67</v>
      </c>
      <c r="C23" s="3" t="s">
        <v>68</v>
      </c>
      <c r="D23" s="3">
        <v>80</v>
      </c>
      <c r="E23" s="1">
        <f t="shared" si="0"/>
        <v>80</v>
      </c>
      <c r="F23" s="3">
        <v>20</v>
      </c>
      <c r="G23" s="3" t="s">
        <v>16</v>
      </c>
      <c r="H23" t="str">
        <f>IF(ISBLANK(G23),"Unknown",G23)</f>
        <v>Kitchen</v>
      </c>
    </row>
    <row r="24" spans="1:8" x14ac:dyDescent="0.25">
      <c r="A24" s="1" t="s">
        <v>69</v>
      </c>
      <c r="B24" s="1" t="s">
        <v>70</v>
      </c>
      <c r="C24" s="1" t="s">
        <v>71</v>
      </c>
      <c r="D24" s="1">
        <v>150</v>
      </c>
      <c r="E24" s="1">
        <f t="shared" si="0"/>
        <v>150</v>
      </c>
      <c r="F24" s="1">
        <v>30</v>
      </c>
      <c r="G24" s="1"/>
      <c r="H24" t="str">
        <f>IF(ISBLANK(G24),"Unknown",G24)</f>
        <v>Unknown</v>
      </c>
    </row>
    <row r="25" spans="1:8" x14ac:dyDescent="0.25">
      <c r="A25" s="3" t="s">
        <v>49</v>
      </c>
      <c r="B25" s="3" t="s">
        <v>50</v>
      </c>
      <c r="C25" s="3" t="s">
        <v>51</v>
      </c>
      <c r="D25" s="3">
        <v>50</v>
      </c>
      <c r="E25" s="1">
        <f t="shared" si="0"/>
        <v>50</v>
      </c>
      <c r="F25" s="3">
        <v>35</v>
      </c>
      <c r="G25" s="3" t="s">
        <v>52</v>
      </c>
      <c r="H25" t="str">
        <f>IF(ISBLANK(G25),"Unknown",G25)</f>
        <v>Accessories</v>
      </c>
    </row>
    <row r="26" spans="1:8" x14ac:dyDescent="0.25">
      <c r="A26" s="1" t="s">
        <v>72</v>
      </c>
      <c r="B26" s="1" t="s">
        <v>73</v>
      </c>
      <c r="C26" s="1" t="s">
        <v>74</v>
      </c>
      <c r="D26" s="1">
        <v>800</v>
      </c>
      <c r="E26" s="1">
        <f t="shared" si="0"/>
        <v>800</v>
      </c>
      <c r="F26" s="1">
        <v>45</v>
      </c>
      <c r="G26" s="1" t="s">
        <v>8</v>
      </c>
      <c r="H26" t="str">
        <f>IF(ISBLANK(G26),"Unknown",G26)</f>
        <v>Electronics</v>
      </c>
    </row>
    <row r="27" spans="1:8" x14ac:dyDescent="0.25">
      <c r="A27" s="3" t="s">
        <v>75</v>
      </c>
      <c r="B27" s="3" t="s">
        <v>58</v>
      </c>
      <c r="C27" s="3" t="s">
        <v>76</v>
      </c>
      <c r="D27" s="3"/>
      <c r="E27" s="1">
        <f t="shared" si="0"/>
        <v>247.5</v>
      </c>
      <c r="F27" s="3">
        <v>25</v>
      </c>
      <c r="G27" s="3" t="s">
        <v>12</v>
      </c>
      <c r="H27" t="str">
        <f>IF(ISBLANK(G27),"Unknown",G27)</f>
        <v>Fashion</v>
      </c>
    </row>
    <row r="28" spans="1:8" x14ac:dyDescent="0.25">
      <c r="A28" s="1" t="s">
        <v>77</v>
      </c>
      <c r="B28" s="1" t="s">
        <v>29</v>
      </c>
      <c r="C28" s="1" t="s">
        <v>78</v>
      </c>
      <c r="D28" s="1">
        <v>400</v>
      </c>
      <c r="E28" s="1">
        <f t="shared" si="0"/>
        <v>400</v>
      </c>
      <c r="F28" s="1">
        <v>40</v>
      </c>
      <c r="G28" s="1" t="s">
        <v>16</v>
      </c>
      <c r="H28" t="str">
        <f t="shared" ref="H28:H35" si="1">IF(ISBLANK(G28),"unknown",G28)</f>
        <v>Kitchen</v>
      </c>
    </row>
    <row r="29" spans="1:8" x14ac:dyDescent="0.25">
      <c r="A29" s="3" t="s">
        <v>47</v>
      </c>
      <c r="B29" s="3" t="s">
        <v>23</v>
      </c>
      <c r="C29" s="3" t="s">
        <v>48</v>
      </c>
      <c r="D29" s="3">
        <v>250</v>
      </c>
      <c r="E29" s="1">
        <f t="shared" si="0"/>
        <v>250</v>
      </c>
      <c r="F29" s="3">
        <v>20</v>
      </c>
      <c r="G29" s="3" t="s">
        <v>8</v>
      </c>
      <c r="H29" t="str">
        <f t="shared" si="1"/>
        <v>Electronics</v>
      </c>
    </row>
    <row r="30" spans="1:8" x14ac:dyDescent="0.25">
      <c r="A30" s="1" t="s">
        <v>79</v>
      </c>
      <c r="B30" s="1" t="s">
        <v>80</v>
      </c>
      <c r="C30" s="1" t="s">
        <v>81</v>
      </c>
      <c r="D30" s="1">
        <v>60</v>
      </c>
      <c r="E30" s="1">
        <f t="shared" si="0"/>
        <v>60</v>
      </c>
      <c r="F30" s="1">
        <v>30</v>
      </c>
      <c r="G30" s="1" t="s">
        <v>12</v>
      </c>
      <c r="H30" t="str">
        <f t="shared" si="1"/>
        <v>Fashion</v>
      </c>
    </row>
    <row r="31" spans="1:8" x14ac:dyDescent="0.25">
      <c r="A31" s="3" t="s">
        <v>82</v>
      </c>
      <c r="B31" s="3" t="s">
        <v>83</v>
      </c>
      <c r="C31" s="3" t="s">
        <v>84</v>
      </c>
      <c r="D31" s="3">
        <v>40</v>
      </c>
      <c r="E31" s="1">
        <f t="shared" si="0"/>
        <v>40</v>
      </c>
      <c r="F31" s="3">
        <v>10</v>
      </c>
      <c r="G31" s="3" t="s">
        <v>16</v>
      </c>
      <c r="H31" t="str">
        <f t="shared" si="1"/>
        <v>Kitchen</v>
      </c>
    </row>
    <row r="32" spans="1:8" x14ac:dyDescent="0.25">
      <c r="A32" s="1" t="s">
        <v>85</v>
      </c>
      <c r="B32" s="1" t="s">
        <v>70</v>
      </c>
      <c r="C32" s="1" t="s">
        <v>86</v>
      </c>
      <c r="D32" s="1">
        <v>130</v>
      </c>
      <c r="E32" s="1">
        <f t="shared" si="0"/>
        <v>130</v>
      </c>
      <c r="F32" s="1">
        <v>5</v>
      </c>
      <c r="G32" s="1" t="s">
        <v>8</v>
      </c>
      <c r="H32" t="str">
        <f t="shared" si="1"/>
        <v>Electronics</v>
      </c>
    </row>
    <row r="33" spans="1:8" x14ac:dyDescent="0.25">
      <c r="A33" s="3" t="s">
        <v>87</v>
      </c>
      <c r="B33" s="3" t="s">
        <v>88</v>
      </c>
      <c r="C33" s="3" t="s">
        <v>89</v>
      </c>
      <c r="D33" s="3">
        <v>50</v>
      </c>
      <c r="E33" s="1">
        <f t="shared" si="0"/>
        <v>50</v>
      </c>
      <c r="F33" s="3">
        <v>50</v>
      </c>
      <c r="G33" s="3" t="s">
        <v>12</v>
      </c>
      <c r="H33" t="str">
        <f t="shared" si="1"/>
        <v>Fashion</v>
      </c>
    </row>
    <row r="34" spans="1:8" x14ac:dyDescent="0.25">
      <c r="A34" s="1" t="s">
        <v>38</v>
      </c>
      <c r="B34" s="1" t="s">
        <v>39</v>
      </c>
      <c r="C34" s="1" t="s">
        <v>40</v>
      </c>
      <c r="D34" s="1">
        <v>950</v>
      </c>
      <c r="E34" s="1">
        <f t="shared" si="0"/>
        <v>950</v>
      </c>
      <c r="F34" s="1">
        <v>25</v>
      </c>
      <c r="G34" s="1" t="s">
        <v>8</v>
      </c>
      <c r="H34" t="str">
        <f t="shared" si="1"/>
        <v>Electronics</v>
      </c>
    </row>
    <row r="35" spans="1:8" x14ac:dyDescent="0.25">
      <c r="A35" s="3" t="s">
        <v>90</v>
      </c>
      <c r="B35" s="3" t="s">
        <v>91</v>
      </c>
      <c r="C35" s="3" t="s">
        <v>92</v>
      </c>
      <c r="D35" s="3">
        <v>100</v>
      </c>
      <c r="E35" s="1">
        <f t="shared" si="0"/>
        <v>100</v>
      </c>
      <c r="F35" s="3">
        <v>20</v>
      </c>
      <c r="G35" s="3" t="s">
        <v>52</v>
      </c>
      <c r="H35" t="str">
        <f t="shared" si="1"/>
        <v>Accessories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CACB-54C0-4227-BDCB-26AA4A14DCDD}">
  <dimension ref="A1:K33"/>
  <sheetViews>
    <sheetView tabSelected="1" zoomScaleNormal="100" workbookViewId="0">
      <selection activeCell="L3" sqref="L3"/>
    </sheetView>
  </sheetViews>
  <sheetFormatPr defaultRowHeight="15" x14ac:dyDescent="0.25"/>
  <cols>
    <col min="1" max="1" width="14.28515625" customWidth="1"/>
    <col min="2" max="2" width="20" customWidth="1"/>
    <col min="3" max="3" width="14.28515625" customWidth="1"/>
    <col min="4" max="4" width="16" customWidth="1"/>
    <col min="5" max="5" width="11.5703125" customWidth="1"/>
    <col min="6" max="6" width="20.7109375" customWidth="1"/>
    <col min="7" max="7" width="9.7109375" bestFit="1" customWidth="1"/>
    <col min="8" max="8" width="17.42578125" customWidth="1"/>
    <col min="9" max="9" width="12.7109375" customWidth="1"/>
    <col min="10" max="10" width="14.28515625" customWidth="1"/>
    <col min="11" max="11" width="16.85546875" customWidth="1"/>
  </cols>
  <sheetData>
    <row r="1" spans="1:11" x14ac:dyDescent="0.25">
      <c r="A1" s="2" t="s">
        <v>0</v>
      </c>
      <c r="B1" s="2" t="s">
        <v>95</v>
      </c>
      <c r="C1" s="2" t="s">
        <v>96</v>
      </c>
      <c r="D1" s="2" t="s">
        <v>1</v>
      </c>
      <c r="E1" s="2" t="s">
        <v>2</v>
      </c>
      <c r="F1" s="4" t="s">
        <v>109</v>
      </c>
      <c r="G1" s="2" t="s">
        <v>3</v>
      </c>
      <c r="H1" s="2" t="s">
        <v>93</v>
      </c>
      <c r="I1" s="2" t="s">
        <v>4</v>
      </c>
      <c r="J1" s="2" t="s">
        <v>5</v>
      </c>
      <c r="K1" s="2" t="s">
        <v>94</v>
      </c>
    </row>
    <row r="2" spans="1:11" x14ac:dyDescent="0.25">
      <c r="A2" s="1" t="s">
        <v>6</v>
      </c>
      <c r="B2" s="9">
        <v>46050</v>
      </c>
      <c r="C2" s="7" t="s">
        <v>97</v>
      </c>
      <c r="D2" s="1" t="s">
        <v>39</v>
      </c>
      <c r="E2" s="1" t="s">
        <v>7</v>
      </c>
      <c r="F2" s="1" t="str">
        <f>CONCATENATE(D2,"-",E2)</f>
        <v>Laptop-Dell</v>
      </c>
      <c r="G2" s="5">
        <v>1000</v>
      </c>
      <c r="H2" s="1">
        <f>IF(ISBLANK(G2),AVERAGE(G3:G35),G2)</f>
        <v>1000</v>
      </c>
      <c r="I2" s="1">
        <v>30</v>
      </c>
      <c r="J2" s="1" t="s">
        <v>8</v>
      </c>
      <c r="K2" t="str">
        <f>IF(ISBLANK(J2),"Unknown",J2)</f>
        <v>Electronics</v>
      </c>
    </row>
    <row r="3" spans="1:11" x14ac:dyDescent="0.25">
      <c r="A3" s="3" t="s">
        <v>9</v>
      </c>
      <c r="B3" s="10">
        <v>46068</v>
      </c>
      <c r="C3" s="8" t="s">
        <v>97</v>
      </c>
      <c r="D3" s="3" t="s">
        <v>10</v>
      </c>
      <c r="E3" s="3" t="s">
        <v>11</v>
      </c>
      <c r="F3" s="1" t="str">
        <f t="shared" ref="F3:F33" si="0">CONCATENATE(D3,"-",E3)</f>
        <v>Sneakers-Nike</v>
      </c>
      <c r="G3" s="6">
        <v>80</v>
      </c>
      <c r="H3" s="1">
        <f>IF(ISBLANK(G3),AVERAGE(G4:G36),G3)</f>
        <v>80</v>
      </c>
      <c r="I3" s="3">
        <v>15</v>
      </c>
      <c r="J3" s="3" t="s">
        <v>12</v>
      </c>
      <c r="K3" t="str">
        <f>IF(ISBLANK(J3),"Unknown",J3)</f>
        <v>Fashion</v>
      </c>
    </row>
    <row r="4" spans="1:11" x14ac:dyDescent="0.25">
      <c r="A4" s="1" t="s">
        <v>13</v>
      </c>
      <c r="B4" s="9">
        <v>46084</v>
      </c>
      <c r="C4" s="7" t="s">
        <v>97</v>
      </c>
      <c r="D4" s="1" t="s">
        <v>14</v>
      </c>
      <c r="E4" s="1" t="s">
        <v>15</v>
      </c>
      <c r="F4" s="1" t="str">
        <f t="shared" si="0"/>
        <v>Coffee Maker-Keurig</v>
      </c>
      <c r="G4" s="5">
        <v>130</v>
      </c>
      <c r="H4" s="1">
        <f>IF(ISBLANK(G4),AVERAGE(G5:G37),G4)</f>
        <v>130</v>
      </c>
      <c r="I4" s="1">
        <v>40</v>
      </c>
      <c r="J4" s="1" t="s">
        <v>16</v>
      </c>
      <c r="K4" t="str">
        <f>IF(ISBLANK(J4),"Unknown",J4)</f>
        <v>Kitchen</v>
      </c>
    </row>
    <row r="5" spans="1:11" x14ac:dyDescent="0.25">
      <c r="A5" s="3" t="s">
        <v>17</v>
      </c>
      <c r="B5" s="10">
        <v>46123</v>
      </c>
      <c r="C5" s="8" t="s">
        <v>97</v>
      </c>
      <c r="D5" s="3" t="s">
        <v>73</v>
      </c>
      <c r="E5" s="3" t="s">
        <v>18</v>
      </c>
      <c r="F5" s="1" t="str">
        <f t="shared" si="0"/>
        <v>Smartphone-Samsung</v>
      </c>
      <c r="G5" s="6">
        <v>900</v>
      </c>
      <c r="H5" s="1">
        <f>IF(ISBLANK(G5),AVERAGE(G6:G38),G5)</f>
        <v>900</v>
      </c>
      <c r="I5" s="3">
        <v>25</v>
      </c>
      <c r="J5" s="3" t="s">
        <v>8</v>
      </c>
      <c r="K5" t="str">
        <f>IF(ISBLANK(J5),"Unknown",J5)</f>
        <v>Electronics</v>
      </c>
    </row>
    <row r="6" spans="1:11" x14ac:dyDescent="0.25">
      <c r="A6" s="1" t="s">
        <v>19</v>
      </c>
      <c r="B6" s="9">
        <v>46164</v>
      </c>
      <c r="C6" s="7" t="s">
        <v>97</v>
      </c>
      <c r="D6" s="1" t="s">
        <v>20</v>
      </c>
      <c r="E6" s="1" t="s">
        <v>21</v>
      </c>
      <c r="F6" s="1" t="str">
        <f t="shared" si="0"/>
        <v>Backpack-North Face</v>
      </c>
      <c r="G6" s="5">
        <v>70</v>
      </c>
      <c r="H6" s="1">
        <f>IF(ISBLANK(G6),AVERAGE(G7:G39),G6)</f>
        <v>70</v>
      </c>
      <c r="I6" s="1">
        <v>20</v>
      </c>
      <c r="J6" s="1"/>
      <c r="K6" t="str">
        <f>IF(ISBLANK(J6),"Unknown",J6)</f>
        <v>Unknown</v>
      </c>
    </row>
    <row r="7" spans="1:11" x14ac:dyDescent="0.25">
      <c r="A7" s="3" t="s">
        <v>22</v>
      </c>
      <c r="B7" s="10">
        <v>46180</v>
      </c>
      <c r="C7" s="8" t="s">
        <v>98</v>
      </c>
      <c r="D7" s="3" t="s">
        <v>23</v>
      </c>
      <c r="E7" s="3" t="s">
        <v>24</v>
      </c>
      <c r="F7" s="1" t="str">
        <f t="shared" si="0"/>
        <v>Headphones-Sony</v>
      </c>
      <c r="G7" s="6"/>
      <c r="H7" s="1">
        <f>IF(ISBLANK(G7),AVERAGE(G8:G40),G7)</f>
        <v>267.82608695652175</v>
      </c>
      <c r="I7" s="3">
        <v>45</v>
      </c>
      <c r="J7" s="3" t="s">
        <v>8</v>
      </c>
      <c r="K7" t="str">
        <f>IF(ISBLANK(J7),"Unknown",J7)</f>
        <v>Electronics</v>
      </c>
    </row>
    <row r="8" spans="1:11" x14ac:dyDescent="0.25">
      <c r="A8" s="1" t="s">
        <v>25</v>
      </c>
      <c r="B8" s="9">
        <v>46222</v>
      </c>
      <c r="C8" s="7" t="s">
        <v>98</v>
      </c>
      <c r="D8" s="1" t="s">
        <v>26</v>
      </c>
      <c r="E8" s="1" t="s">
        <v>27</v>
      </c>
      <c r="F8" s="1" t="str">
        <f t="shared" si="0"/>
        <v>T-shirt-Adidas</v>
      </c>
      <c r="G8" s="5">
        <v>30</v>
      </c>
      <c r="H8" s="1">
        <f>IF(ISBLANK(G8),AVERAGE(G9:G41),G8)</f>
        <v>30</v>
      </c>
      <c r="I8" s="1">
        <v>5</v>
      </c>
      <c r="J8" s="1" t="s">
        <v>12</v>
      </c>
      <c r="K8" t="str">
        <f>IF(ISBLANK(J8),"Unknown",J8)</f>
        <v>Fashion</v>
      </c>
    </row>
    <row r="9" spans="1:11" x14ac:dyDescent="0.25">
      <c r="A9" s="3" t="s">
        <v>28</v>
      </c>
      <c r="B9" s="10">
        <v>46257</v>
      </c>
      <c r="C9" s="8" t="s">
        <v>98</v>
      </c>
      <c r="D9" s="3" t="s">
        <v>29</v>
      </c>
      <c r="E9" s="3" t="s">
        <v>30</v>
      </c>
      <c r="F9" s="1" t="str">
        <f t="shared" si="0"/>
        <v>Blender-Ninja</v>
      </c>
      <c r="G9" s="6">
        <v>90</v>
      </c>
      <c r="H9" s="1">
        <f>IF(ISBLANK(G9),AVERAGE(G10:G42),G9)</f>
        <v>90</v>
      </c>
      <c r="I9" s="3">
        <v>35</v>
      </c>
      <c r="J9" s="3" t="s">
        <v>16</v>
      </c>
      <c r="K9" t="str">
        <f>IF(ISBLANK(J9),"Unknown",J9)</f>
        <v>Kitchen</v>
      </c>
    </row>
    <row r="10" spans="1:11" x14ac:dyDescent="0.25">
      <c r="A10" s="1" t="s">
        <v>31</v>
      </c>
      <c r="B10" s="9">
        <v>46270</v>
      </c>
      <c r="C10" s="7" t="s">
        <v>98</v>
      </c>
      <c r="D10" s="1" t="s">
        <v>32</v>
      </c>
      <c r="E10" s="1" t="s">
        <v>33</v>
      </c>
      <c r="F10" s="1" t="str">
        <f t="shared" si="0"/>
        <v>Tablet-Apple</v>
      </c>
      <c r="G10" s="5">
        <v>500</v>
      </c>
      <c r="H10" s="1">
        <f>IF(ISBLANK(G10),AVERAGE(G11:G43),G10)</f>
        <v>500</v>
      </c>
      <c r="I10" s="1">
        <v>50</v>
      </c>
      <c r="J10" s="1" t="s">
        <v>8</v>
      </c>
      <c r="K10" t="str">
        <f>IF(ISBLANK(J10),"Unknown",J10)</f>
        <v>Electronics</v>
      </c>
    </row>
    <row r="11" spans="1:11" x14ac:dyDescent="0.25">
      <c r="A11" s="3" t="s">
        <v>34</v>
      </c>
      <c r="B11" s="10">
        <v>46309</v>
      </c>
      <c r="C11" s="8" t="s">
        <v>98</v>
      </c>
      <c r="D11" s="3" t="s">
        <v>35</v>
      </c>
      <c r="E11" s="3" t="s">
        <v>36</v>
      </c>
      <c r="F11" s="1" t="str">
        <f t="shared" si="0"/>
        <v>Hiking Boots-Timberland</v>
      </c>
      <c r="G11" s="6">
        <v>130</v>
      </c>
      <c r="H11" s="1">
        <f>IF(ISBLANK(G11),AVERAGE(G12:G44),G11)</f>
        <v>130</v>
      </c>
      <c r="I11" s="3">
        <v>10</v>
      </c>
      <c r="J11" s="3" t="s">
        <v>37</v>
      </c>
      <c r="K11" t="str">
        <f>IF(ISBLANK(J11),"Unknown",J11)</f>
        <v>Outdoor</v>
      </c>
    </row>
    <row r="12" spans="1:11" x14ac:dyDescent="0.25">
      <c r="A12" s="1" t="s">
        <v>38</v>
      </c>
      <c r="B12" s="9">
        <v>46190</v>
      </c>
      <c r="C12" s="7" t="s">
        <v>99</v>
      </c>
      <c r="D12" s="1" t="s">
        <v>39</v>
      </c>
      <c r="E12" s="1" t="s">
        <v>40</v>
      </c>
      <c r="F12" s="1" t="str">
        <f t="shared" si="0"/>
        <v>Laptop-HP</v>
      </c>
      <c r="G12" s="5">
        <v>950</v>
      </c>
      <c r="H12" s="1">
        <f>IF(ISBLANK(G12),AVERAGE(G13:G45),G12)</f>
        <v>950</v>
      </c>
      <c r="I12" s="1">
        <v>25</v>
      </c>
      <c r="J12" s="1" t="s">
        <v>8</v>
      </c>
      <c r="K12" t="str">
        <f>IF(ISBLANK(J12),"Unknown",J12)</f>
        <v>Electronics</v>
      </c>
    </row>
    <row r="13" spans="1:11" x14ac:dyDescent="0.25">
      <c r="A13" s="3" t="s">
        <v>41</v>
      </c>
      <c r="B13" s="10">
        <v>46351</v>
      </c>
      <c r="C13" s="8" t="s">
        <v>100</v>
      </c>
      <c r="D13" s="3" t="s">
        <v>10</v>
      </c>
      <c r="E13" s="3" t="s">
        <v>27</v>
      </c>
      <c r="F13" s="1" t="str">
        <f t="shared" si="0"/>
        <v>Sneakers-Adidas</v>
      </c>
      <c r="G13" s="6">
        <v>90</v>
      </c>
      <c r="H13" s="1">
        <f>IF(ISBLANK(G13),AVERAGE(G14:G46),G13)</f>
        <v>90</v>
      </c>
      <c r="I13" s="3">
        <v>40</v>
      </c>
      <c r="J13" s="3"/>
      <c r="K13" t="str">
        <f>IF(ISBLANK(J13),"Unknown",J13)</f>
        <v>Unknown</v>
      </c>
    </row>
    <row r="14" spans="1:11" x14ac:dyDescent="0.25">
      <c r="A14" s="1" t="s">
        <v>42</v>
      </c>
      <c r="B14" s="9">
        <v>46364</v>
      </c>
      <c r="C14" s="7" t="s">
        <v>101</v>
      </c>
      <c r="D14" s="1" t="s">
        <v>14</v>
      </c>
      <c r="E14" s="1" t="s">
        <v>43</v>
      </c>
      <c r="F14" s="1" t="str">
        <f t="shared" si="0"/>
        <v>Coffee Maker-Nespresso</v>
      </c>
      <c r="G14" s="5">
        <v>120</v>
      </c>
      <c r="H14" s="1">
        <f>IF(ISBLANK(G14),AVERAGE(G15:G47),G14)</f>
        <v>120</v>
      </c>
      <c r="I14" s="1">
        <v>35</v>
      </c>
      <c r="J14" s="1"/>
      <c r="K14" t="str">
        <f>IF(ISBLANK(J14),"Unknown",J14)</f>
        <v>Unknown</v>
      </c>
    </row>
    <row r="15" spans="1:11" x14ac:dyDescent="0.25">
      <c r="A15" s="3" t="s">
        <v>44</v>
      </c>
      <c r="B15" s="10">
        <v>46071</v>
      </c>
      <c r="C15" s="8" t="s">
        <v>102</v>
      </c>
      <c r="D15" s="3" t="s">
        <v>45</v>
      </c>
      <c r="E15" s="3" t="s">
        <v>46</v>
      </c>
      <c r="F15" s="1" t="str">
        <f t="shared" si="0"/>
        <v>Smartwatch-Fitbit</v>
      </c>
      <c r="G15" s="6">
        <v>150</v>
      </c>
      <c r="H15" s="1">
        <f>IF(ISBLANK(G15),AVERAGE(G16:G48),G15)</f>
        <v>150</v>
      </c>
      <c r="I15" s="3">
        <v>15</v>
      </c>
      <c r="J15" s="3" t="s">
        <v>8</v>
      </c>
      <c r="K15" t="str">
        <f>IF(ISBLANK(J15),"Unknown",J15)</f>
        <v>Electronics</v>
      </c>
    </row>
    <row r="16" spans="1:11" x14ac:dyDescent="0.25">
      <c r="A16" s="1" t="s">
        <v>47</v>
      </c>
      <c r="B16" s="9">
        <v>46128</v>
      </c>
      <c r="C16" s="7" t="s">
        <v>103</v>
      </c>
      <c r="D16" s="1" t="s">
        <v>23</v>
      </c>
      <c r="E16" s="1" t="s">
        <v>48</v>
      </c>
      <c r="F16" s="1" t="str">
        <f t="shared" si="0"/>
        <v>Headphones-Bose</v>
      </c>
      <c r="G16" s="5">
        <v>250</v>
      </c>
      <c r="H16" s="1">
        <f>IF(ISBLANK(G16),AVERAGE(G17:G49),G16)</f>
        <v>250</v>
      </c>
      <c r="I16" s="1">
        <v>20</v>
      </c>
      <c r="J16" s="1" t="s">
        <v>8</v>
      </c>
      <c r="K16" t="str">
        <f>IF(ISBLANK(J16),"Unknown",J16)</f>
        <v>Electronics</v>
      </c>
    </row>
    <row r="17" spans="1:11" x14ac:dyDescent="0.25">
      <c r="A17" s="3" t="s">
        <v>49</v>
      </c>
      <c r="B17" s="10">
        <v>46255</v>
      </c>
      <c r="C17" s="8" t="s">
        <v>102</v>
      </c>
      <c r="D17" s="3" t="s">
        <v>50</v>
      </c>
      <c r="E17" s="3" t="s">
        <v>51</v>
      </c>
      <c r="F17" s="1" t="str">
        <f t="shared" si="0"/>
        <v>Laptop Bag-Samsonite</v>
      </c>
      <c r="G17" s="6">
        <v>50</v>
      </c>
      <c r="H17" s="1">
        <f>IF(ISBLANK(G17),AVERAGE(G18:G50),G17)</f>
        <v>50</v>
      </c>
      <c r="I17" s="3">
        <v>35</v>
      </c>
      <c r="J17" s="3" t="s">
        <v>52</v>
      </c>
      <c r="K17" t="str">
        <f>IF(ISBLANK(J17),"Unknown",J17)</f>
        <v>Accessories</v>
      </c>
    </row>
    <row r="18" spans="1:11" x14ac:dyDescent="0.25">
      <c r="A18" s="1" t="s">
        <v>53</v>
      </c>
      <c r="B18" s="9">
        <v>46254</v>
      </c>
      <c r="C18" s="7" t="s">
        <v>104</v>
      </c>
      <c r="D18" s="1" t="s">
        <v>45</v>
      </c>
      <c r="E18" s="1" t="s">
        <v>54</v>
      </c>
      <c r="F18" s="1" t="str">
        <f t="shared" si="0"/>
        <v>Smartwatch-Huawei</v>
      </c>
      <c r="G18" s="5">
        <v>160</v>
      </c>
      <c r="H18" s="1">
        <f>IF(ISBLANK(G18),AVERAGE(G19:G51),G18)</f>
        <v>160</v>
      </c>
      <c r="I18" s="1">
        <v>15</v>
      </c>
      <c r="J18" s="1" t="s">
        <v>8</v>
      </c>
      <c r="K18" t="str">
        <f>IF(ISBLANK(J18),"Unknown",J18)</f>
        <v>Electronics</v>
      </c>
    </row>
    <row r="19" spans="1:11" x14ac:dyDescent="0.25">
      <c r="A19" s="3" t="s">
        <v>55</v>
      </c>
      <c r="B19" s="10">
        <v>46049</v>
      </c>
      <c r="C19" s="8" t="s">
        <v>105</v>
      </c>
      <c r="D19" s="3" t="s">
        <v>39</v>
      </c>
      <c r="E19" s="3" t="s">
        <v>56</v>
      </c>
      <c r="F19" s="1" t="str">
        <f t="shared" si="0"/>
        <v>Laptop-Asus</v>
      </c>
      <c r="G19" s="6">
        <v>980</v>
      </c>
      <c r="H19" s="1">
        <f>IF(ISBLANK(G19),AVERAGE(G20:G52),G19)</f>
        <v>980</v>
      </c>
      <c r="I19" s="3">
        <v>10</v>
      </c>
      <c r="J19" s="3" t="s">
        <v>8</v>
      </c>
      <c r="K19" t="str">
        <f>IF(ISBLANK(J19),"Unknown",J19)</f>
        <v>Electronics</v>
      </c>
    </row>
    <row r="20" spans="1:11" x14ac:dyDescent="0.25">
      <c r="A20" s="1" t="s">
        <v>57</v>
      </c>
      <c r="B20" s="9">
        <v>46082</v>
      </c>
      <c r="C20" s="7" t="s">
        <v>98</v>
      </c>
      <c r="D20" s="1" t="s">
        <v>58</v>
      </c>
      <c r="E20" s="1" t="s">
        <v>59</v>
      </c>
      <c r="F20" s="1" t="str">
        <f t="shared" si="0"/>
        <v>Sunglasses-Oakley</v>
      </c>
      <c r="G20" s="5">
        <v>150</v>
      </c>
      <c r="H20" s="1">
        <f>IF(ISBLANK(G20),AVERAGE(G21:G53),G20)</f>
        <v>150</v>
      </c>
      <c r="I20" s="1">
        <v>15</v>
      </c>
      <c r="J20" s="1" t="s">
        <v>12</v>
      </c>
      <c r="K20" t="str">
        <f>IF(ISBLANK(J20),"Unknown",J20)</f>
        <v>Fashion</v>
      </c>
    </row>
    <row r="21" spans="1:11" x14ac:dyDescent="0.25">
      <c r="A21" s="3" t="s">
        <v>60</v>
      </c>
      <c r="B21" s="10">
        <v>46248</v>
      </c>
      <c r="C21" s="8" t="s">
        <v>97</v>
      </c>
      <c r="D21" s="3" t="s">
        <v>61</v>
      </c>
      <c r="E21" s="3" t="s">
        <v>62</v>
      </c>
      <c r="F21" s="1" t="str">
        <f t="shared" si="0"/>
        <v>Camping Tent-Coleman</v>
      </c>
      <c r="G21" s="6"/>
      <c r="H21" s="1">
        <f>IF(ISBLANK(G21),AVERAGE(G22:G54),G21)</f>
        <v>251</v>
      </c>
      <c r="I21" s="3">
        <v>10</v>
      </c>
      <c r="J21" s="3" t="s">
        <v>37</v>
      </c>
      <c r="K21" t="str">
        <f>IF(ISBLANK(J21),"Unknown",J21)</f>
        <v>Outdoor</v>
      </c>
    </row>
    <row r="22" spans="1:11" x14ac:dyDescent="0.25">
      <c r="A22" s="1" t="s">
        <v>63</v>
      </c>
      <c r="B22" s="9">
        <v>46156</v>
      </c>
      <c r="C22" s="7" t="s">
        <v>106</v>
      </c>
      <c r="D22" s="1" t="s">
        <v>64</v>
      </c>
      <c r="E22" s="1" t="s">
        <v>65</v>
      </c>
      <c r="F22" s="1" t="str">
        <f t="shared" si="0"/>
        <v>Camera-Nikon</v>
      </c>
      <c r="G22" s="5">
        <v>700</v>
      </c>
      <c r="H22" s="1">
        <f>IF(ISBLANK(G22),AVERAGE(G23:G55),G22)</f>
        <v>700</v>
      </c>
      <c r="I22" s="1">
        <v>50</v>
      </c>
      <c r="J22" s="1" t="s">
        <v>8</v>
      </c>
      <c r="K22" t="str">
        <f>IF(ISBLANK(J22),"Unknown",J22)</f>
        <v>Electronics</v>
      </c>
    </row>
    <row r="23" spans="1:11" x14ac:dyDescent="0.25">
      <c r="A23" s="3" t="s">
        <v>66</v>
      </c>
      <c r="B23" s="10">
        <v>46031</v>
      </c>
      <c r="C23" s="8" t="s">
        <v>102</v>
      </c>
      <c r="D23" s="3" t="s">
        <v>67</v>
      </c>
      <c r="E23" s="3" t="s">
        <v>68</v>
      </c>
      <c r="F23" s="1" t="str">
        <f t="shared" si="0"/>
        <v>Microwave-Panasonic</v>
      </c>
      <c r="G23" s="6">
        <v>80</v>
      </c>
      <c r="H23" s="1">
        <f>IF(ISBLANK(G23),AVERAGE(G24:G56),G23)</f>
        <v>80</v>
      </c>
      <c r="I23" s="3">
        <v>20</v>
      </c>
      <c r="J23" s="3" t="s">
        <v>16</v>
      </c>
      <c r="K23" t="str">
        <f>IF(ISBLANK(J23),"Unknown",J23)</f>
        <v>Kitchen</v>
      </c>
    </row>
    <row r="24" spans="1:11" x14ac:dyDescent="0.25">
      <c r="A24" s="1" t="s">
        <v>69</v>
      </c>
      <c r="B24" s="9">
        <v>46222</v>
      </c>
      <c r="C24" s="7" t="s">
        <v>107</v>
      </c>
      <c r="D24" s="1" t="s">
        <v>70</v>
      </c>
      <c r="E24" s="1" t="s">
        <v>71</v>
      </c>
      <c r="F24" s="1" t="str">
        <f t="shared" si="0"/>
        <v>Fitness Tracker-Xiaomi</v>
      </c>
      <c r="G24" s="5">
        <v>150</v>
      </c>
      <c r="H24" s="1">
        <f>IF(ISBLANK(G24),AVERAGE(G25:G57),G24)</f>
        <v>150</v>
      </c>
      <c r="I24" s="1">
        <v>30</v>
      </c>
      <c r="J24" s="1"/>
      <c r="K24" t="str">
        <f>IF(ISBLANK(J24),"Unknown",J24)</f>
        <v>Unknown</v>
      </c>
    </row>
    <row r="25" spans="1:11" x14ac:dyDescent="0.25">
      <c r="A25" s="1" t="s">
        <v>72</v>
      </c>
      <c r="B25" s="9">
        <v>46294</v>
      </c>
      <c r="C25" s="7" t="s">
        <v>102</v>
      </c>
      <c r="D25" s="1" t="s">
        <v>73</v>
      </c>
      <c r="E25" s="1" t="s">
        <v>74</v>
      </c>
      <c r="F25" s="1" t="str">
        <f t="shared" si="0"/>
        <v>Smartphone-Google</v>
      </c>
      <c r="G25" s="5">
        <v>800</v>
      </c>
      <c r="H25" s="1">
        <f>IF(ISBLANK(G25),AVERAGE(G26:G58),G25)</f>
        <v>800</v>
      </c>
      <c r="I25" s="1">
        <v>45</v>
      </c>
      <c r="J25" s="1" t="s">
        <v>8</v>
      </c>
      <c r="K25" t="str">
        <f>IF(ISBLANK(J25),"Unknown",J25)</f>
        <v>Electronics</v>
      </c>
    </row>
    <row r="26" spans="1:11" x14ac:dyDescent="0.25">
      <c r="A26" s="3" t="s">
        <v>75</v>
      </c>
      <c r="B26" s="10">
        <v>46176</v>
      </c>
      <c r="C26" s="8" t="s">
        <v>102</v>
      </c>
      <c r="D26" s="3" t="s">
        <v>58</v>
      </c>
      <c r="E26" s="3" t="s">
        <v>76</v>
      </c>
      <c r="F26" s="1" t="str">
        <f t="shared" si="0"/>
        <v>Sunglasses-Ray-Ban</v>
      </c>
      <c r="G26" s="6"/>
      <c r="H26" s="1">
        <f>IF(ISBLANK(G26),AVERAGE(G27:G59),G26)</f>
        <v>130</v>
      </c>
      <c r="I26" s="3">
        <v>25</v>
      </c>
      <c r="J26" s="3" t="s">
        <v>12</v>
      </c>
      <c r="K26" t="str">
        <f>IF(ISBLANK(J26),"Unknown",J26)</f>
        <v>Fashion</v>
      </c>
    </row>
    <row r="27" spans="1:11" x14ac:dyDescent="0.25">
      <c r="A27" s="1" t="s">
        <v>77</v>
      </c>
      <c r="B27" s="9">
        <v>46214</v>
      </c>
      <c r="C27" s="7" t="s">
        <v>102</v>
      </c>
      <c r="D27" s="1" t="s">
        <v>29</v>
      </c>
      <c r="E27" s="1" t="s">
        <v>78</v>
      </c>
      <c r="F27" s="1" t="str">
        <f t="shared" si="0"/>
        <v>Blender-Vitamix</v>
      </c>
      <c r="G27" s="5">
        <v>400</v>
      </c>
      <c r="H27" s="1">
        <f>IF(ISBLANK(G27),AVERAGE(G28:G60),G27)</f>
        <v>400</v>
      </c>
      <c r="I27" s="1">
        <v>40</v>
      </c>
      <c r="J27" s="1" t="s">
        <v>16</v>
      </c>
      <c r="K27" t="str">
        <f>IF(ISBLANK(J27),"unknown",J27)</f>
        <v>Kitchen</v>
      </c>
    </row>
    <row r="28" spans="1:11" x14ac:dyDescent="0.25">
      <c r="A28" s="1" t="s">
        <v>79</v>
      </c>
      <c r="B28" s="9">
        <v>46088</v>
      </c>
      <c r="C28" s="7" t="s">
        <v>102</v>
      </c>
      <c r="D28" s="1" t="s">
        <v>80</v>
      </c>
      <c r="E28" s="1" t="s">
        <v>81</v>
      </c>
      <c r="F28" s="1" t="str">
        <f t="shared" si="0"/>
        <v>Dress-Zara</v>
      </c>
      <c r="G28" s="5">
        <v>60</v>
      </c>
      <c r="H28" s="1">
        <f>IF(ISBLANK(G28),AVERAGE(G29:G61),G28)</f>
        <v>60</v>
      </c>
      <c r="I28" s="1">
        <v>30</v>
      </c>
      <c r="J28" s="1" t="s">
        <v>12</v>
      </c>
      <c r="K28" t="str">
        <f>IF(ISBLANK(J28),"unknown",J28)</f>
        <v>Fashion</v>
      </c>
    </row>
    <row r="29" spans="1:11" x14ac:dyDescent="0.25">
      <c r="A29" s="3" t="s">
        <v>82</v>
      </c>
      <c r="B29" s="10">
        <v>46125</v>
      </c>
      <c r="C29" s="8" t="s">
        <v>102</v>
      </c>
      <c r="D29" s="3" t="s">
        <v>83</v>
      </c>
      <c r="E29" s="3" t="s">
        <v>84</v>
      </c>
      <c r="F29" s="1" t="str">
        <f t="shared" si="0"/>
        <v>Toaster-Hamilton</v>
      </c>
      <c r="G29" s="6">
        <v>40</v>
      </c>
      <c r="H29" s="1">
        <f>IF(ISBLANK(G29),AVERAGE(G30:G62),G29)</f>
        <v>40</v>
      </c>
      <c r="I29" s="3">
        <v>10</v>
      </c>
      <c r="J29" s="3" t="s">
        <v>16</v>
      </c>
      <c r="K29" t="str">
        <f>IF(ISBLANK(J29),"unknown",J29)</f>
        <v>Kitchen</v>
      </c>
    </row>
    <row r="30" spans="1:11" x14ac:dyDescent="0.25">
      <c r="A30" s="1" t="s">
        <v>85</v>
      </c>
      <c r="B30" s="9">
        <v>46166</v>
      </c>
      <c r="C30" s="7" t="s">
        <v>102</v>
      </c>
      <c r="D30" s="1" t="s">
        <v>70</v>
      </c>
      <c r="E30" s="1" t="s">
        <v>86</v>
      </c>
      <c r="F30" s="1" t="str">
        <f t="shared" si="0"/>
        <v>Fitness Tracker-Garmin</v>
      </c>
      <c r="G30" s="5">
        <v>130</v>
      </c>
      <c r="H30" s="1">
        <f>IF(ISBLANK(G30),AVERAGE(G31:G63),G30)</f>
        <v>130</v>
      </c>
      <c r="I30" s="1">
        <v>5</v>
      </c>
      <c r="J30" s="1" t="s">
        <v>8</v>
      </c>
      <c r="K30" t="str">
        <f>IF(ISBLANK(J30),"unknown",J30)</f>
        <v>Electronics</v>
      </c>
    </row>
    <row r="31" spans="1:11" x14ac:dyDescent="0.25">
      <c r="A31" s="3" t="s">
        <v>87</v>
      </c>
      <c r="B31" s="10">
        <v>46358</v>
      </c>
      <c r="C31" s="8" t="s">
        <v>102</v>
      </c>
      <c r="D31" s="3" t="s">
        <v>88</v>
      </c>
      <c r="E31" s="3" t="s">
        <v>89</v>
      </c>
      <c r="F31" s="1" t="str">
        <f t="shared" si="0"/>
        <v>Jeans-Levi's</v>
      </c>
      <c r="G31" s="6">
        <v>50</v>
      </c>
      <c r="H31" s="1">
        <f>IF(ISBLANK(G31),AVERAGE(G32:G64),G31)</f>
        <v>50</v>
      </c>
      <c r="I31" s="3">
        <v>50</v>
      </c>
      <c r="J31" s="3" t="s">
        <v>12</v>
      </c>
      <c r="K31" t="str">
        <f>IF(ISBLANK(J31),"unknown",J31)</f>
        <v>Fashion</v>
      </c>
    </row>
    <row r="32" spans="1:11" x14ac:dyDescent="0.25">
      <c r="A32" s="3" t="s">
        <v>90</v>
      </c>
      <c r="B32" s="10">
        <v>46212</v>
      </c>
      <c r="C32" s="8" t="s">
        <v>108</v>
      </c>
      <c r="D32" s="3" t="s">
        <v>91</v>
      </c>
      <c r="E32" s="3" t="s">
        <v>92</v>
      </c>
      <c r="F32" s="1" t="str">
        <f t="shared" si="0"/>
        <v>Watch-Casio</v>
      </c>
      <c r="G32" s="6">
        <v>100</v>
      </c>
      <c r="H32" s="1">
        <f>IF(ISBLANK(G32),AVERAGE(G33:G65),G32)</f>
        <v>100</v>
      </c>
      <c r="I32" s="3">
        <v>20</v>
      </c>
      <c r="J32" s="3" t="s">
        <v>52</v>
      </c>
      <c r="K32" t="str">
        <f>IF(ISBLANK(J32),"unknown",J32)</f>
        <v>Accessories</v>
      </c>
    </row>
    <row r="33" spans="6:6" x14ac:dyDescent="0.25">
      <c r="F33" s="1" t="str">
        <f t="shared" si="0"/>
        <v>-</v>
      </c>
    </row>
  </sheetData>
  <conditionalFormatting sqref="G1:G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{DFA4FDCF-6D3F-4BDE-976D-B4506AA1F88C}</x14:id>
        </ext>
      </extLst>
    </cfRule>
  </conditionalFormatting>
  <conditionalFormatting sqref="J2:J32">
    <cfRule type="containsText" dxfId="0" priority="1" operator="containsText" text="Electronics">
      <formula>NOT(ISERROR(SEARCH("Electronics",J2)))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A4FDCF-6D3F-4BDE-976D-B4506AA1F8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varshaunni875@gmail.com</dc:creator>
  <cp:lastModifiedBy>varshaunni875@gmail.com</cp:lastModifiedBy>
  <dcterms:created xsi:type="dcterms:W3CDTF">2026-05-04T18:36:48Z</dcterms:created>
  <dcterms:modified xsi:type="dcterms:W3CDTF">2026-05-04T20:43:32Z</dcterms:modified>
</cp:coreProperties>
</file>